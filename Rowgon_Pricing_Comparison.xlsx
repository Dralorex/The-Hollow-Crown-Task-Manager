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ison" sheetId="1" state="visible" r:id="rId1"/>
    <sheet name="Examples (monthly)" sheetId="2" state="visible" r:id="rId2"/>
    <sheet name="Max Pay" sheetId="3" state="visible" r:id="rId3"/>
    <sheet name="How billing works" sheetId="4" state="visible" r:id="rId4"/>
    <sheet name="Infra Cost 100-10k" sheetId="5" state="visible" r:id="rId5"/>
    <sheet name="Scale Assump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b val="1"/>
      <color rgb="00134E4A"/>
      <sz val="16"/>
    </font>
    <font>
      <color rgb="00475569"/>
      <sz val="10"/>
    </font>
    <font>
      <b val="1"/>
      <color rgb="00FFFFFF"/>
      <sz val="11"/>
    </font>
    <font>
      <b val="1"/>
    </font>
    <font>
      <b val="1"/>
      <color rgb="0092400E"/>
    </font>
    <font>
      <b val="1"/>
      <color rgb="0092400E"/>
      <sz val="12"/>
    </font>
    <font>
      <b val="1"/>
      <color rgb="000F766E"/>
      <sz val="12"/>
    </font>
    <font>
      <i val="1"/>
      <color rgb="00B45309"/>
      <sz val="10"/>
    </font>
    <font>
      <i val="1"/>
      <color rgb="00475569"/>
      <sz val="10"/>
    </font>
    <font>
      <b val="1"/>
      <color rgb="00B45309"/>
      <sz val="10"/>
    </font>
    <font>
      <i val="1"/>
      <color rgb="00475569"/>
      <sz val="9"/>
    </font>
  </fonts>
  <fills count="10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ECFDF5"/>
      </patternFill>
    </fill>
    <fill>
      <patternFill patternType="solid">
        <fgColor rgb="00F0FDFA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1FAE5"/>
      </patternFill>
    </fill>
    <fill>
      <patternFill patternType="solid">
        <fgColor rgb="00E0E7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8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  <xf numFmtId="0" fontId="9" fillId="0" borderId="0" pivotButton="0" quotePrefix="0" xfId="0"/>
    <xf numFmtId="0" fontId="4" fillId="3" borderId="1" pivotButton="0" quotePrefix="0" xfId="0"/>
    <xf numFmtId="0" fontId="10" fillId="0" borderId="0" pivotButton="0" quotePrefix="0" xfId="0"/>
    <xf numFmtId="0" fontId="4" fillId="0" borderId="0" pivotButton="0" quotePrefix="0" xfId="0"/>
    <xf numFmtId="164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2" borderId="1" pivotButton="0" quotePrefix="0" xfId="0"/>
    <xf numFmtId="164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22" customWidth="1" min="4" max="4"/>
    <col width="28" customWidth="1" min="5" max="5"/>
    <col width="22" customWidth="1" min="6" max="6"/>
  </cols>
  <sheetData>
    <row r="1">
      <c r="A1" s="1" t="inlineStr">
        <is>
          <t>Rowgon Pricing — Side-by-Side Comparison</t>
        </is>
      </c>
    </row>
    <row r="2">
      <c r="A2" s="2" t="inlineStr">
        <is>
          <t>Free for personal use. Paid plans = base fee + seats above 5. Yearly = 10× monthly (~2 months free).</t>
        </is>
      </c>
    </row>
    <row r="3">
      <c r="A3" s="24" t="inlineStr">
        <is>
          <t>Seat ladder (all paid plans): 1–5 free · 6–25 = $2.50/seat · 26–100 = $5/seat · 101+ = $10/seat</t>
        </is>
      </c>
    </row>
    <row r="5">
      <c r="A5" s="3" t="inlineStr">
        <is>
          <t>Feature</t>
        </is>
      </c>
      <c r="B5" s="3" t="inlineStr">
        <is>
          <t>Free</t>
        </is>
      </c>
      <c r="C5" s="3" t="inlineStr">
        <is>
          <t>Team</t>
        </is>
      </c>
      <c r="D5" s="3" t="inlineStr">
        <is>
          <t>Business</t>
        </is>
      </c>
      <c r="E5" s="3" t="inlineStr">
        <is>
          <t>Enterprise</t>
        </is>
      </c>
      <c r="F5" s="3" t="inlineStr">
        <is>
          <t>Ent. example (200 seats)</t>
        </is>
      </c>
    </row>
    <row r="6" ht="26" customHeight="1">
      <c r="A6" s="4" t="inlineStr">
        <is>
          <t>Best for</t>
        </is>
      </c>
      <c r="B6" s="5" t="inlineStr">
        <is>
          <t>You + friends</t>
        </is>
      </c>
      <c r="C6" s="5" t="inlineStr">
        <is>
          <t>Small teams</t>
        </is>
      </c>
      <c r="D6" s="5" t="inlineStr">
        <is>
          <t>Companies</t>
        </is>
      </c>
      <c r="E6" s="5" t="inlineStr">
        <is>
          <t>Big orgs / many teams</t>
        </is>
      </c>
      <c r="F6" s="5" t="inlineStr">
        <is>
          <t>—</t>
        </is>
      </c>
    </row>
    <row r="7" ht="26" customHeight="1">
      <c r="A7" s="4" t="inlineStr">
        <is>
          <t>Base fee (monthly)</t>
        </is>
      </c>
      <c r="B7" s="6" t="inlineStr">
        <is>
          <t>$0</t>
        </is>
      </c>
      <c r="C7" s="6" t="inlineStr">
        <is>
          <t>$12 / mo</t>
        </is>
      </c>
      <c r="D7" s="6" t="inlineStr">
        <is>
          <t>$30 / mo</t>
        </is>
      </c>
      <c r="E7" s="6" t="inlineStr">
        <is>
          <t>$80 / mo</t>
        </is>
      </c>
      <c r="F7" s="6" t="inlineStr">
        <is>
          <t>$80 / mo</t>
        </is>
      </c>
    </row>
    <row r="8" ht="26" customHeight="1">
      <c r="A8" s="4" t="inlineStr">
        <is>
          <t>Base fee (yearly)</t>
        </is>
      </c>
      <c r="B8" s="5" t="inlineStr">
        <is>
          <t>$0</t>
        </is>
      </c>
      <c r="C8" s="5" t="inlineStr">
        <is>
          <t>$120 / yr</t>
        </is>
      </c>
      <c r="D8" s="5" t="inlineStr">
        <is>
          <t>$300 / yr</t>
        </is>
      </c>
      <c r="E8" s="5" t="inlineStr">
        <is>
          <t>$800 / yr</t>
        </is>
      </c>
      <c r="F8" s="5" t="inlineStr">
        <is>
          <t>$800 / yr</t>
        </is>
      </c>
    </row>
    <row r="9" ht="26" customHeight="1">
      <c r="A9" s="4" t="inlineStr">
        <is>
          <t>Who pays</t>
        </is>
      </c>
      <c r="B9" s="6" t="inlineStr">
        <is>
          <t>Nobody</t>
        </is>
      </c>
      <c r="C9" s="6" t="inlineStr">
        <is>
          <t>That workspace</t>
        </is>
      </c>
      <c r="D9" s="6" t="inlineStr">
        <is>
          <t>That workspace</t>
        </is>
      </c>
      <c r="E9" s="6" t="inlineStr">
        <is>
          <t>Whole organization</t>
        </is>
      </c>
      <c r="F9" s="6" t="inlineStr">
        <is>
          <t>Whole organization</t>
        </is>
      </c>
    </row>
    <row r="10" ht="26" customHeight="1">
      <c r="A10" s="4" t="inlineStr">
        <is>
          <t>People (seats)</t>
        </is>
      </c>
      <c r="B10" s="5" t="inlineStr">
        <is>
          <t>Up to 5</t>
        </is>
      </c>
      <c r="C10" s="5" t="inlineStr">
        <is>
          <t>Up to 25</t>
        </is>
      </c>
      <c r="D10" s="5" t="inlineStr">
        <is>
          <t>Up to 100</t>
        </is>
      </c>
      <c r="E10" s="5" t="inlineStr">
        <is>
          <t>As many as you type</t>
        </is>
      </c>
      <c r="F10" s="5" t="inlineStr">
        <is>
          <t>200 (example)</t>
        </is>
      </c>
    </row>
    <row r="11" ht="26" customHeight="1">
      <c r="A11" s="4" t="inlineStr">
        <is>
          <t>Extra seat cost</t>
        </is>
      </c>
      <c r="B11" s="6" t="inlineStr">
        <is>
          <t>—</t>
        </is>
      </c>
      <c r="C11" s="6" t="inlineStr">
        <is>
          <t>$2.50 each after 5</t>
        </is>
      </c>
      <c r="D11" s="6" t="inlineStr">
        <is>
          <t>$2.50 then $5 after 25</t>
        </is>
      </c>
      <c r="E11" s="6" t="inlineStr">
        <is>
          <t>Same + $10 after 100</t>
        </is>
      </c>
      <c r="F11" s="6" t="inlineStr">
        <is>
          <t>$10 after 100</t>
        </is>
      </c>
    </row>
    <row r="12" ht="26" customHeight="1">
      <c r="A12" s="4" t="inlineStr">
        <is>
          <t>Workspaces</t>
        </is>
      </c>
      <c r="B12" s="5" t="inlineStr">
        <is>
          <t>1 free</t>
        </is>
      </c>
      <c r="C12" s="5" t="inlineStr">
        <is>
          <t>Upgrade + free slot again</t>
        </is>
      </c>
      <c r="D12" s="5" t="inlineStr">
        <is>
          <t>Same</t>
        </is>
      </c>
      <c r="E12" s="5" t="inlineStr">
        <is>
          <t>Unlimited under company</t>
        </is>
      </c>
      <c r="F12" s="5" t="inlineStr">
        <is>
          <t>Unlimited under company</t>
        </is>
      </c>
    </row>
    <row r="13" ht="26" customHeight="1">
      <c r="A13" s="4" t="inlineStr">
        <is>
          <t>Custom roles</t>
        </is>
      </c>
      <c r="B13" s="6" t="inlineStr">
        <is>
          <t>2</t>
        </is>
      </c>
      <c r="C13" s="6" t="inlineStr">
        <is>
          <t>10</t>
        </is>
      </c>
      <c r="D13" s="6" t="inlineStr">
        <is>
          <t>Unlimited</t>
        </is>
      </c>
      <c r="E13" s="6" t="inlineStr">
        <is>
          <t>Unlimited</t>
        </is>
      </c>
      <c r="F13" s="6" t="inlineStr">
        <is>
          <t>Unlimited</t>
        </is>
      </c>
    </row>
    <row r="14" ht="26" customHeight="1">
      <c r="A14" s="4" t="inlineStr">
        <is>
          <t>Tasks / claim / review</t>
        </is>
      </c>
      <c r="B14" s="5" t="inlineStr">
        <is>
          <t>Yes</t>
        </is>
      </c>
      <c r="C14" s="5" t="inlineStr">
        <is>
          <t>Yes</t>
        </is>
      </c>
      <c r="D14" s="5" t="inlineStr">
        <is>
          <t>Yes</t>
        </is>
      </c>
      <c r="E14" s="5" t="inlineStr">
        <is>
          <t>Yes</t>
        </is>
      </c>
      <c r="F14" s="5" t="inlineStr">
        <is>
          <t>Yes</t>
        </is>
      </c>
    </row>
    <row r="15" ht="26" customHeight="1">
      <c r="A15" s="4" t="inlineStr">
        <is>
          <t>Friends &amp; DMs</t>
        </is>
      </c>
      <c r="B15" s="6" t="inlineStr">
        <is>
          <t>Yes</t>
        </is>
      </c>
      <c r="C15" s="6" t="inlineStr">
        <is>
          <t>Yes</t>
        </is>
      </c>
      <c r="D15" s="6" t="inlineStr">
        <is>
          <t>Yes</t>
        </is>
      </c>
      <c r="E15" s="6" t="inlineStr">
        <is>
          <t>Yes</t>
        </is>
      </c>
      <c r="F15" s="6" t="inlineStr">
        <is>
          <t>Yes</t>
        </is>
      </c>
    </row>
    <row r="16" ht="26" customHeight="1">
      <c r="A16" s="4" t="inlineStr">
        <is>
          <t>Group chats</t>
        </is>
      </c>
      <c r="B16" s="5" t="inlineStr">
        <is>
          <t>1</t>
        </is>
      </c>
      <c r="C16" s="5" t="inlineStr">
        <is>
          <t>Unlimited</t>
        </is>
      </c>
      <c r="D16" s="5" t="inlineStr">
        <is>
          <t>Unlimited</t>
        </is>
      </c>
      <c r="E16" s="5" t="inlineStr">
        <is>
          <t>Unlimited</t>
        </is>
      </c>
      <c r="F16" s="5" t="inlineStr">
        <is>
          <t>Unlimited</t>
        </is>
      </c>
    </row>
    <row r="17" ht="26" customHeight="1">
      <c r="A17" s="4" t="inlineStr">
        <is>
          <t>Data retention</t>
        </is>
      </c>
      <c r="B17" s="6" t="inlineStr">
        <is>
          <t>90 days</t>
        </is>
      </c>
      <c r="C17" s="6" t="inlineStr">
        <is>
          <t>1 year</t>
        </is>
      </c>
      <c r="D17" s="6" t="inlineStr">
        <is>
          <t>3 years</t>
        </is>
      </c>
      <c r="E17" s="6" t="inlineStr">
        <is>
          <t>Company sets rules</t>
        </is>
      </c>
      <c r="F17" s="6" t="inlineStr">
        <is>
          <t>Company sets rules</t>
        </is>
      </c>
    </row>
    <row r="18" ht="26" customHeight="1">
      <c r="A18" s="4" t="inlineStr">
        <is>
          <t>File storage</t>
        </is>
      </c>
      <c r="B18" s="5" t="inlineStr">
        <is>
          <t>—</t>
        </is>
      </c>
      <c r="C18" s="5" t="inlineStr">
        <is>
          <t>5 GB</t>
        </is>
      </c>
      <c r="D18" s="5" t="inlineStr">
        <is>
          <t>50 GB</t>
        </is>
      </c>
      <c r="E18" s="5" t="inlineStr">
        <is>
          <t>Shared company pool</t>
        </is>
      </c>
      <c r="F18" s="5" t="inlineStr">
        <is>
          <t>Shared company pool</t>
        </is>
      </c>
    </row>
    <row r="19" ht="26" customHeight="1">
      <c r="A19" s="4" t="inlineStr">
        <is>
          <t>Export / backup</t>
        </is>
      </c>
      <c r="B19" s="6" t="inlineStr">
        <is>
          <t>—</t>
        </is>
      </c>
      <c r="C19" s="6" t="inlineStr">
        <is>
          <t>Basic</t>
        </is>
      </c>
      <c r="D19" s="6" t="inlineStr">
        <is>
          <t>Full</t>
        </is>
      </c>
      <c r="E19" s="6" t="inlineStr">
        <is>
          <t>Full</t>
        </is>
      </c>
      <c r="F19" s="6" t="inlineStr">
        <is>
          <t>Full</t>
        </is>
      </c>
    </row>
    <row r="20" ht="26" customHeight="1">
      <c r="A20" s="4" t="inlineStr">
        <is>
          <t>Audit log</t>
        </is>
      </c>
      <c r="B20" s="5" t="inlineStr">
        <is>
          <t>—</t>
        </is>
      </c>
      <c r="C20" s="5" t="inlineStr">
        <is>
          <t>—</t>
        </is>
      </c>
      <c r="D20" s="5" t="inlineStr">
        <is>
          <t>Yes</t>
        </is>
      </c>
      <c r="E20" s="5" t="inlineStr">
        <is>
          <t>Yes (whole company)</t>
        </is>
      </c>
      <c r="F20" s="5" t="inlineStr">
        <is>
          <t>Yes (whole company)</t>
        </is>
      </c>
    </row>
    <row r="21" ht="26" customHeight="1">
      <c r="A21" s="4" t="inlineStr">
        <is>
          <t>Admin tools (bulk invite, etc.)</t>
        </is>
      </c>
      <c r="B21" s="6" t="inlineStr">
        <is>
          <t>—</t>
        </is>
      </c>
      <c r="C21" s="6" t="inlineStr">
        <is>
          <t>—</t>
        </is>
      </c>
      <c r="D21" s="6" t="inlineStr">
        <is>
          <t>Yes</t>
        </is>
      </c>
      <c r="E21" s="6" t="inlineStr">
        <is>
          <t>Yes</t>
        </is>
      </c>
      <c r="F21" s="6" t="inlineStr">
        <is>
          <t>Yes</t>
        </is>
      </c>
    </row>
    <row r="22" ht="26" customHeight="1">
      <c r="A22" s="4" t="inlineStr">
        <is>
          <t>Calendar sync (Google etc.)</t>
        </is>
      </c>
      <c r="B22" s="5" t="inlineStr">
        <is>
          <t>—</t>
        </is>
      </c>
      <c r="C22" s="5" t="inlineStr">
        <is>
          <t>—</t>
        </is>
      </c>
      <c r="D22" s="5" t="inlineStr">
        <is>
          <t>Yes</t>
        </is>
      </c>
      <c r="E22" s="5" t="inlineStr">
        <is>
          <t>Yes</t>
        </is>
      </c>
      <c r="F22" s="5" t="inlineStr">
        <is>
          <t>Yes</t>
        </is>
      </c>
    </row>
    <row r="23" ht="26" customHeight="1">
      <c r="A23" s="4" t="inlineStr">
        <is>
          <t>Company login (SSO)</t>
        </is>
      </c>
      <c r="B23" s="6" t="inlineStr">
        <is>
          <t>—</t>
        </is>
      </c>
      <c r="C23" s="6" t="inlineStr">
        <is>
          <t>—</t>
        </is>
      </c>
      <c r="D23" s="6" t="inlineStr">
        <is>
          <t>—</t>
        </is>
      </c>
      <c r="E23" s="6" t="inlineStr">
        <is>
          <t>Yes (when ready)</t>
        </is>
      </c>
      <c r="F23" s="6" t="inlineStr">
        <is>
          <t>Yes (when ready)</t>
        </is>
      </c>
    </row>
    <row r="24" ht="26" customHeight="1">
      <c r="A24" s="4" t="inlineStr">
        <is>
          <t>Support</t>
        </is>
      </c>
      <c r="B24" s="5" t="inlineStr">
        <is>
          <t>Docs</t>
        </is>
      </c>
      <c r="C24" s="5" t="inlineStr">
        <is>
          <t>Email</t>
        </is>
      </c>
      <c r="D24" s="5" t="inlineStr">
        <is>
          <t>Priority email</t>
        </is>
      </c>
      <c r="E24" s="5" t="inlineStr">
        <is>
          <t>Named person + SLA</t>
        </is>
      </c>
      <c r="F24" s="5" t="inlineStr">
        <is>
          <t>Named person + SLA</t>
        </is>
      </c>
    </row>
    <row r="25">
      <c r="A25" s="11" t="inlineStr">
        <is>
          <t>CALCULATOR (edit Max Seats / Cost-per-band to model)</t>
        </is>
      </c>
    </row>
    <row r="26">
      <c r="A26" s="5" t="inlineStr">
        <is>
          <t>Input</t>
        </is>
      </c>
      <c r="B26" s="3" t="inlineStr">
        <is>
          <t>Free</t>
        </is>
      </c>
      <c r="C26" s="3" t="inlineStr">
        <is>
          <t>Team</t>
        </is>
      </c>
      <c r="D26" s="3" t="inlineStr">
        <is>
          <t>Business</t>
        </is>
      </c>
      <c r="E26" s="3" t="inlineStr">
        <is>
          <t>Enterprise</t>
        </is>
      </c>
      <c r="F26" s="3" t="inlineStr">
        <is>
          <t>Ent. @ N seats</t>
        </is>
      </c>
    </row>
    <row r="27">
      <c r="A27" s="25" t="inlineStr">
        <is>
          <t>Model Cost (base $/mo)</t>
        </is>
      </c>
      <c r="B27" s="26" t="n">
        <v>0</v>
      </c>
      <c r="C27" s="26" t="n">
        <v>12</v>
      </c>
      <c r="D27" s="26" t="n">
        <v>30</v>
      </c>
      <c r="E27" s="26" t="n">
        <v>80</v>
      </c>
      <c r="F27" s="26" t="n">
        <v>80</v>
      </c>
    </row>
    <row r="28">
      <c r="A28" s="25" t="inlineStr">
        <is>
          <t>Max Seats</t>
        </is>
      </c>
      <c r="B28" s="27" t="n">
        <v>5</v>
      </c>
      <c r="C28" s="27" t="n">
        <v>25</v>
      </c>
      <c r="D28" s="27" t="n">
        <v>100</v>
      </c>
      <c r="E28" s="6" t="inlineStr">
        <is>
          <t>typed</t>
        </is>
      </c>
      <c r="F28" s="27" t="n">
        <v>200</v>
      </c>
    </row>
    <row r="29">
      <c r="A29" s="25" t="inlineStr">
        <is>
          <t>Seat $/mo in this plan's top band</t>
        </is>
      </c>
      <c r="B29" s="26" t="n">
        <v>0</v>
      </c>
      <c r="C29" s="26" t="n">
        <v>2.5</v>
      </c>
      <c r="D29" s="26" t="n">
        <v>5</v>
      </c>
      <c r="E29" s="26" t="n">
        <v>10</v>
      </c>
      <c r="F29" s="26" t="n">
        <v>10</v>
      </c>
    </row>
    <row r="30">
      <c r="A30" s="7" t="inlineStr">
        <is>
          <t>MAX PAY / MONTH (at seat cap)</t>
        </is>
      </c>
      <c r="B30" s="28" t="n">
        <v>0</v>
      </c>
      <c r="C30" s="28">
        <f>C27+(C28-B28)*C29</f>
        <v/>
      </c>
      <c r="D30" s="28">
        <f>C30+(D27-C27)+(D28-C28)*D29</f>
        <v/>
      </c>
      <c r="E30" s="29" t="inlineStr">
        <is>
          <t>No fixed max — scales with seats</t>
        </is>
      </c>
      <c r="F30" s="28">
        <f>D30+(E27-D27)+(F28-D28)*F29</f>
        <v/>
      </c>
    </row>
    <row r="31">
      <c r="A31" s="7" t="inlineStr">
        <is>
          <t>MAX PAY / YEAR (≈10× monthly)</t>
        </is>
      </c>
      <c r="B31" s="28">
        <f>B30*10</f>
        <v/>
      </c>
      <c r="C31" s="28">
        <f>C30*10</f>
        <v/>
      </c>
      <c r="D31" s="28">
        <f>D30*10</f>
        <v/>
      </c>
      <c r="E31" s="29" t="inlineStr">
        <is>
          <t>No fixed max — scales with seats</t>
        </is>
      </c>
      <c r="F31" s="28">
        <f>F30*10</f>
        <v/>
      </c>
    </row>
    <row r="32">
      <c r="A32" s="12" t="inlineStr">
        <is>
          <t>MAX PAY AT 12× MONTHLY (no yearly discount)</t>
        </is>
      </c>
      <c r="B32" s="26">
        <f>B30*12</f>
        <v/>
      </c>
      <c r="C32" s="26">
        <f>C30*12</f>
        <v/>
      </c>
      <c r="D32" s="26">
        <f>D30*12</f>
        <v/>
      </c>
      <c r="E32" s="5" t="inlineStr">
        <is>
          <t>—</t>
        </is>
      </c>
      <c r="F32" s="26">
        <f>F30*12</f>
        <v/>
      </c>
    </row>
    <row r="33">
      <c r="A33" s="12" t="inlineStr">
        <is>
          <t>Effective $/mo if paying yearly (10×/12)</t>
        </is>
      </c>
      <c r="B33" s="30">
        <f>B31/12</f>
        <v/>
      </c>
      <c r="C33" s="30">
        <f>C31/12</f>
        <v/>
      </c>
      <c r="D33" s="30">
        <f>D31/12</f>
        <v/>
      </c>
      <c r="E33" s="5" t="inlineStr">
        <is>
          <t>—</t>
        </is>
      </c>
      <c r="F33" s="30">
        <f>F31/12</f>
        <v/>
      </c>
    </row>
    <row r="35">
      <c r="A35" s="31" t="inlineStr">
        <is>
          <t>Note: Yellow MAX rows use the ladder. Team rate applies to seats 6–25; Business adds $5 for 26–100; Enterprise adds $10 for 101+. Edit gold/purple inputs; Enterprise column F seat count is editable (default 200).</t>
        </is>
      </c>
    </row>
    <row r="37">
      <c r="A37" s="11" t="inlineStr">
        <is>
          <t>Expected MAX (with current defaults)</t>
        </is>
      </c>
    </row>
    <row r="38">
      <c r="A38" t="inlineStr">
        <is>
          <t>Check values</t>
        </is>
      </c>
      <c r="B38" s="32" t="inlineStr">
        <is>
          <t>Free</t>
        </is>
      </c>
      <c r="C38" s="32" t="inlineStr">
        <is>
          <t>Team</t>
        </is>
      </c>
      <c r="D38" s="32" t="inlineStr">
        <is>
          <t>Business</t>
        </is>
      </c>
      <c r="E38" s="32" t="inlineStr">
        <is>
          <t>Enterprise</t>
        </is>
      </c>
      <c r="F38" s="32" t="inlineStr">
        <is>
          <t>Ent @ 200</t>
        </is>
      </c>
    </row>
    <row r="39">
      <c r="A39" s="25" t="inlineStr">
        <is>
          <t>MAX $/mo</t>
        </is>
      </c>
      <c r="B39" s="33" t="n">
        <v>0</v>
      </c>
      <c r="C39" s="33" t="n">
        <v>62</v>
      </c>
      <c r="D39" s="33" t="n">
        <v>455</v>
      </c>
      <c r="E39" s="34" t="inlineStr">
        <is>
          <t>no cap</t>
        </is>
      </c>
      <c r="F39" s="33" t="n">
        <v>1505</v>
      </c>
    </row>
  </sheetData>
  <mergeCells count="5">
    <mergeCell ref="A2:F2"/>
    <mergeCell ref="A1:F1"/>
    <mergeCell ref="A35:F35"/>
    <mergeCell ref="A3:F3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Easy monthly price examples</t>
        </is>
      </c>
    </row>
    <row r="2">
      <c r="A2" s="2" t="inlineStr">
        <is>
          <t>Formula: base fee + seat fees above 5 · Ladder $2.50 (6–25) / $5 (26–100) / $10 (101+)</t>
        </is>
      </c>
    </row>
    <row r="4">
      <c r="A4" s="3" t="inlineStr">
        <is>
          <t>People</t>
        </is>
      </c>
      <c r="B4" s="3" t="inlineStr">
        <is>
          <t>Free</t>
        </is>
      </c>
      <c r="C4" s="3" t="inlineStr">
        <is>
          <t>Team</t>
        </is>
      </c>
      <c r="D4" s="3" t="inlineStr">
        <is>
          <t>Business</t>
        </is>
      </c>
      <c r="E4" s="3" t="inlineStr">
        <is>
          <t>Enterprise</t>
        </is>
      </c>
    </row>
    <row r="5">
      <c r="A5" s="9" t="n">
        <v>5</v>
      </c>
      <c r="B5" s="5" t="inlineStr">
        <is>
          <t>$0</t>
        </is>
      </c>
      <c r="C5" s="5" t="inlineStr">
        <is>
          <t>$12</t>
        </is>
      </c>
      <c r="D5" s="5" t="inlineStr">
        <is>
          <t>$30</t>
        </is>
      </c>
      <c r="E5" s="5" t="inlineStr">
        <is>
          <t>$80</t>
        </is>
      </c>
    </row>
    <row r="6">
      <c r="A6" s="10" t="n">
        <v>8</v>
      </c>
      <c r="B6" s="6" t="inlineStr">
        <is>
          <t>—</t>
        </is>
      </c>
      <c r="C6" s="6" t="inlineStr">
        <is>
          <t>$19.50</t>
        </is>
      </c>
      <c r="D6" s="6" t="inlineStr">
        <is>
          <t>$37.50</t>
        </is>
      </c>
      <c r="E6" s="6" t="inlineStr">
        <is>
          <t>$87.50</t>
        </is>
      </c>
    </row>
    <row r="7">
      <c r="A7" s="9" t="n">
        <v>10</v>
      </c>
      <c r="B7" s="5" t="inlineStr">
        <is>
          <t>—</t>
        </is>
      </c>
      <c r="C7" s="5" t="inlineStr">
        <is>
          <t>$24.50</t>
        </is>
      </c>
      <c r="D7" s="5" t="inlineStr">
        <is>
          <t>$42.50</t>
        </is>
      </c>
      <c r="E7" s="5" t="inlineStr">
        <is>
          <t>$92.50</t>
        </is>
      </c>
    </row>
    <row r="8">
      <c r="A8" s="10" t="n">
        <v>25</v>
      </c>
      <c r="B8" s="6" t="inlineStr">
        <is>
          <t>—</t>
        </is>
      </c>
      <c r="C8" s="6" t="inlineStr">
        <is>
          <t>$62</t>
        </is>
      </c>
      <c r="D8" s="6" t="inlineStr">
        <is>
          <t>$80</t>
        </is>
      </c>
      <c r="E8" s="6" t="inlineStr">
        <is>
          <t>$130</t>
        </is>
      </c>
    </row>
    <row r="9">
      <c r="A9" s="9" t="n">
        <v>50</v>
      </c>
      <c r="B9" s="5" t="inlineStr">
        <is>
          <t>—</t>
        </is>
      </c>
      <c r="C9" s="5" t="inlineStr">
        <is>
          <t>—</t>
        </is>
      </c>
      <c r="D9" s="5" t="inlineStr">
        <is>
          <t>$205</t>
        </is>
      </c>
      <c r="E9" s="5" t="inlineStr">
        <is>
          <t>$255</t>
        </is>
      </c>
    </row>
    <row r="10">
      <c r="A10" s="10" t="n">
        <v>100</v>
      </c>
      <c r="B10" s="6" t="inlineStr">
        <is>
          <t>—</t>
        </is>
      </c>
      <c r="C10" s="6" t="inlineStr">
        <is>
          <t>—</t>
        </is>
      </c>
      <c r="D10" s="6" t="inlineStr">
        <is>
          <t>$455</t>
        </is>
      </c>
      <c r="E10" s="6" t="inlineStr">
        <is>
          <t>$505</t>
        </is>
      </c>
    </row>
    <row r="11">
      <c r="A11" s="9" t="n">
        <v>150</v>
      </c>
      <c r="B11" s="5" t="inlineStr">
        <is>
          <t>—</t>
        </is>
      </c>
      <c r="C11" s="5" t="inlineStr">
        <is>
          <t>—</t>
        </is>
      </c>
      <c r="D11" s="5" t="inlineStr">
        <is>
          <t>—</t>
        </is>
      </c>
      <c r="E11" s="5" t="inlineStr">
        <is>
          <t>$1005</t>
        </is>
      </c>
    </row>
    <row r="12">
      <c r="A12" s="10" t="n">
        <v>200</v>
      </c>
      <c r="B12" s="6" t="inlineStr">
        <is>
          <t>—</t>
        </is>
      </c>
      <c r="C12" s="6" t="inlineStr">
        <is>
          <t>—</t>
        </is>
      </c>
      <c r="D12" s="6" t="inlineStr">
        <is>
          <t>—</t>
        </is>
      </c>
      <c r="E12" s="6" t="inlineStr">
        <is>
          <t>$1505</t>
        </is>
      </c>
    </row>
    <row r="13">
      <c r="A13" s="9" t="n">
        <v>250</v>
      </c>
      <c r="B13" s="5" t="inlineStr">
        <is>
          <t>—</t>
        </is>
      </c>
      <c r="C13" s="5" t="inlineStr">
        <is>
          <t>—</t>
        </is>
      </c>
      <c r="D13" s="5" t="inlineStr">
        <is>
          <t>—</t>
        </is>
      </c>
      <c r="E13" s="5" t="inlineStr">
        <is>
          <t>$2005</t>
        </is>
      </c>
    </row>
    <row r="14">
      <c r="A14" s="10" t="n">
        <v>500</v>
      </c>
      <c r="B14" s="6" t="inlineStr">
        <is>
          <t>—</t>
        </is>
      </c>
      <c r="C14" s="6" t="inlineStr">
        <is>
          <t>—</t>
        </is>
      </c>
      <c r="D14" s="6" t="inlineStr">
        <is>
          <t>—</t>
        </is>
      </c>
      <c r="E14" s="6" t="inlineStr">
        <is>
          <t>$4505</t>
        </is>
      </c>
    </row>
    <row r="17">
      <c r="A17" s="11" t="inlineStr">
        <is>
          <t>How the math works</t>
        </is>
      </c>
    </row>
    <row r="18">
      <c r="A18" t="inlineStr">
        <is>
          <t>Team @ 25</t>
        </is>
      </c>
    </row>
    <row r="19">
      <c r="A19" t="inlineStr">
        <is>
          <t>$12 base + (25 − 5) × $2.50 = $12 + $50 = $62 / mo</t>
        </is>
      </c>
    </row>
    <row r="21">
      <c r="A21" t="inlineStr">
        <is>
          <t>Business @ 100</t>
        </is>
      </c>
    </row>
    <row r="22">
      <c r="A22" t="inlineStr">
        <is>
          <t>$30 base + (20 × $2.50) + (75 × $5) = $30 + $50 + $375 = $455 / mo</t>
        </is>
      </c>
    </row>
    <row r="24">
      <c r="A24" t="inlineStr">
        <is>
          <t>Enterprise @ 150</t>
        </is>
      </c>
    </row>
    <row r="25">
      <c r="A25" t="inlineStr">
        <is>
          <t>$80 base + $50 (seats 6–25) + $375 (26–100) + (50 × $10) = $1,005 / mo</t>
        </is>
      </c>
    </row>
    <row r="27">
      <c r="A27" t="inlineStr">
        <is>
          <t>Enterprise @ 200</t>
        </is>
      </c>
    </row>
    <row r="28">
      <c r="A28" t="inlineStr">
        <is>
          <t>$80 + $50 + $375 + (100 × $10) = $1,505 / mo</t>
        </is>
      </c>
    </row>
  </sheetData>
  <mergeCells count="6">
    <mergeCell ref="A2:E2"/>
    <mergeCell ref="A25:E25"/>
    <mergeCell ref="A28:E28"/>
    <mergeCell ref="A19:E19"/>
    <mergeCell ref="A1:E1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8" customWidth="1" min="3" max="3"/>
    <col width="14" customWidth="1" min="4" max="4"/>
    <col width="18" customWidth="1" min="5" max="5"/>
    <col width="22" customWidth="1" min="6" max="6"/>
  </cols>
  <sheetData>
    <row r="1">
      <c r="A1" s="1" t="inlineStr">
        <is>
          <t>Max pay per plan (updated seat ladder)</t>
        </is>
      </c>
    </row>
    <row r="2">
      <c r="A2" s="2" t="inlineStr">
        <is>
          <t>Seat ladder: 1–5 free · 6–25 = $2.50 · 26–100 = $5 · 101+ = $10. Most you’d pay at each plan’s seat cap.</t>
        </is>
      </c>
    </row>
    <row r="4">
      <c r="A4" s="3" t="inlineStr">
        <is>
          <t>Plan</t>
        </is>
      </c>
      <c r="B4" s="3" t="inlineStr">
        <is>
          <t>Max people</t>
        </is>
      </c>
      <c r="C4" s="3" t="inlineStr">
        <is>
          <t>How max is calculated</t>
        </is>
      </c>
      <c r="D4" s="3" t="inlineStr">
        <is>
          <t>Max monthly</t>
        </is>
      </c>
      <c r="E4" s="3" t="inlineStr">
        <is>
          <t>Max yearly (≈10×)</t>
        </is>
      </c>
      <c r="F4" s="3" t="inlineStr">
        <is>
          <t>Notes</t>
        </is>
      </c>
    </row>
    <row r="5" ht="36" customHeight="1">
      <c r="A5" s="12" t="inlineStr">
        <is>
          <t>Free</t>
        </is>
      </c>
      <c r="B5" s="13" t="inlineStr">
        <is>
          <t>5</t>
        </is>
      </c>
      <c r="C5" s="13" t="inlineStr">
        <is>
          <t>No base, no seat fees</t>
        </is>
      </c>
      <c r="D5" s="19" t="inlineStr">
        <is>
          <t>$0</t>
        </is>
      </c>
      <c r="E5" s="19" t="inlineStr">
        <is>
          <t>$0</t>
        </is>
      </c>
      <c r="F5" s="13" t="inlineStr">
        <is>
          <t>Personal / friends</t>
        </is>
      </c>
    </row>
    <row r="6" ht="36" customHeight="1">
      <c r="A6" s="12" t="inlineStr">
        <is>
          <t>Team</t>
        </is>
      </c>
      <c r="B6" s="13" t="inlineStr">
        <is>
          <t>25</t>
        </is>
      </c>
      <c r="C6" s="13" t="inlineStr">
        <is>
          <t>$12 base + 20 × $2.50</t>
        </is>
      </c>
      <c r="D6" s="19" t="inlineStr">
        <is>
          <t>$62 / mo</t>
        </is>
      </c>
      <c r="E6" s="19" t="inlineStr">
        <is>
          <t>$620 / yr</t>
        </is>
      </c>
      <c r="F6" s="13" t="inlineStr">
        <is>
          <t>Hard cap at 25 seats</t>
        </is>
      </c>
    </row>
    <row r="7" ht="36" customHeight="1">
      <c r="A7" s="12" t="inlineStr">
        <is>
          <t>Business</t>
        </is>
      </c>
      <c r="B7" s="13" t="inlineStr">
        <is>
          <t>100</t>
        </is>
      </c>
      <c r="C7" s="13" t="inlineStr">
        <is>
          <t>$30 + $50 (6–25 @ $2.50) + $375 (26–100 @ $5)</t>
        </is>
      </c>
      <c r="D7" s="19" t="inlineStr">
        <is>
          <t>$455 / mo</t>
        </is>
      </c>
      <c r="E7" s="19" t="inlineStr">
        <is>
          <t>$4,550 / yr</t>
        </is>
      </c>
      <c r="F7" s="13" t="inlineStr">
        <is>
          <t>Hard cap at 100 seats</t>
        </is>
      </c>
    </row>
    <row r="8" ht="36" customHeight="1">
      <c r="A8" s="12" t="inlineStr">
        <is>
          <t>Enterprise</t>
        </is>
      </c>
      <c r="B8" s="13" t="inlineStr">
        <is>
          <t>No hard cap</t>
        </is>
      </c>
      <c r="C8" s="13" t="inlineStr">
        <is>
          <t>You type seats; $80 + full ladder</t>
        </is>
      </c>
      <c r="D8" s="19" t="inlineStr">
        <is>
          <t>No fixed max</t>
        </is>
      </c>
      <c r="E8" s="19" t="inlineStr">
        <is>
          <t>No fixed max</t>
        </is>
      </c>
      <c r="F8" s="13" t="inlineStr">
        <is>
          <t>Scales with headcount</t>
        </is>
      </c>
    </row>
    <row r="11">
      <c r="A11" s="11" t="inlineStr">
        <is>
          <t>Enterprise size examples (not a max — just helpful)</t>
        </is>
      </c>
    </row>
    <row r="12">
      <c r="A12" s="3" t="inlineStr">
        <is>
          <t>People</t>
        </is>
      </c>
      <c r="B12" s="3" t="inlineStr">
        <is>
          <t>Approx monthly</t>
        </is>
      </c>
      <c r="C12" s="3" t="inlineStr">
        <is>
          <t>Approx yearly (10×)</t>
        </is>
      </c>
    </row>
    <row r="13">
      <c r="A13" s="5" t="n">
        <v>100</v>
      </c>
      <c r="B13" s="5" t="inlineStr">
        <is>
          <t>$505</t>
        </is>
      </c>
      <c r="C13" s="5" t="inlineStr">
        <is>
          <t>$5050</t>
        </is>
      </c>
    </row>
    <row r="14">
      <c r="A14" s="5" t="n">
        <v>150</v>
      </c>
      <c r="B14" s="5" t="inlineStr">
        <is>
          <t>$1005</t>
        </is>
      </c>
      <c r="C14" s="5" t="inlineStr">
        <is>
          <t>$10050</t>
        </is>
      </c>
    </row>
    <row r="15">
      <c r="A15" s="5" t="n">
        <v>200</v>
      </c>
      <c r="B15" s="5" t="inlineStr">
        <is>
          <t>$1505</t>
        </is>
      </c>
      <c r="C15" s="5" t="inlineStr">
        <is>
          <t>$15050</t>
        </is>
      </c>
    </row>
    <row r="16">
      <c r="A16" s="5" t="n">
        <v>250</v>
      </c>
      <c r="B16" s="5" t="inlineStr">
        <is>
          <t>$2005</t>
        </is>
      </c>
      <c r="C16" s="5" t="inlineStr">
        <is>
          <t>$20050</t>
        </is>
      </c>
    </row>
    <row r="17">
      <c r="A17" s="5" t="n">
        <v>500</v>
      </c>
      <c r="B17" s="5" t="inlineStr">
        <is>
          <t>$4505</t>
        </is>
      </c>
      <c r="C17" s="5" t="inlineStr">
        <is>
          <t>$45050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88" customWidth="1" min="2" max="2"/>
    <col width="36" customWidth="1" min="3" max="3"/>
  </cols>
  <sheetData>
    <row r="1">
      <c r="A1" s="1" t="inlineStr">
        <is>
          <t>Fair rules (plain English)</t>
        </is>
      </c>
    </row>
    <row r="3">
      <c r="A3" s="3" t="inlineStr">
        <is>
          <t>Rule</t>
        </is>
      </c>
      <c r="B3" s="3" t="inlineStr">
        <is>
          <t>Detail</t>
        </is>
      </c>
    </row>
    <row r="4" ht="30" customHeight="1">
      <c r="A4" s="5" t="n">
        <v>1</v>
      </c>
      <c r="B4" s="13" t="inlineStr">
        <is>
          <t>Everyone always gets 1 free workspace. Upgrade it and you can make another free one.</t>
        </is>
      </c>
    </row>
    <row r="5" ht="30" customHeight="1">
      <c r="A5" s="5" t="n">
        <v>2</v>
      </c>
      <c r="B5" s="14" t="inlineStr">
        <is>
          <t>Free workspaces never get billed (no base fee, no seats).</t>
        </is>
      </c>
    </row>
    <row r="6" ht="30" customHeight="1">
      <c r="A6" s="5" t="n">
        <v>3</v>
      </c>
      <c r="B6" s="13" t="inlineStr">
        <is>
          <t>Paid plans = base fee + seats above 5 people.</t>
        </is>
      </c>
    </row>
    <row r="7" ht="30" customHeight="1">
      <c r="A7" s="5" t="n">
        <v>4</v>
      </c>
      <c r="B7" s="14" t="inlineStr">
        <is>
          <t>Seat ladder: 1–5 free · 6–25 = $2.50 · 26–100 = $5 · 101+ = $10 (per seat / month).</t>
        </is>
      </c>
    </row>
    <row r="8" ht="30" customHeight="1">
      <c r="A8" s="5" t="n">
        <v>5</v>
      </c>
      <c r="B8" s="13" t="inlineStr">
        <is>
          <t>Yearly lock-in = 10 × monthly (~2 months free).</t>
        </is>
      </c>
    </row>
    <row r="9" ht="30" customHeight="1">
      <c r="A9" s="5" t="n">
        <v>6</v>
      </c>
      <c r="B9" s="14" t="inlineStr">
        <is>
          <t>Upgrades start right away; they charge a fair partial month (proration).</t>
        </is>
      </c>
    </row>
    <row r="10" ht="30" customHeight="1">
      <c r="A10" s="5" t="n">
        <v>7</v>
      </c>
      <c r="B10" s="13" t="inlineStr">
        <is>
          <t>Downgrades / removing people: keep access through the period you paid for; bill drops next cycle (no mid-cycle refund).</t>
        </is>
      </c>
    </row>
    <row r="11" ht="30" customHeight="1">
      <c r="A11" s="5" t="n">
        <v>8</v>
      </c>
      <c r="B11" s="14" t="inlineStr">
        <is>
          <t>Friends outside workspaces stay free.</t>
        </is>
      </c>
    </row>
    <row r="12" ht="30" customHeight="1">
      <c r="A12" s="5" t="n">
        <v>9</v>
      </c>
      <c r="B12" s="13" t="inlineStr">
        <is>
          <t>Same person can be in a free workspace and a paid one; they only cost money if they use a billable seat on the paid side.</t>
        </is>
      </c>
    </row>
    <row r="13" ht="30" customHeight="1">
      <c r="A13" s="5" t="n">
        <v>10</v>
      </c>
      <c r="B13" s="14" t="inlineStr">
        <is>
          <t>Team max pay = $62/mo · Business max pay = $455/mo · Enterprise has no fixed max.</t>
        </is>
      </c>
    </row>
    <row r="16">
      <c r="A16" s="11" t="inlineStr">
        <is>
          <t>Bottom line for family review</t>
        </is>
      </c>
    </row>
    <row r="17">
      <c r="A17" s="3" t="inlineStr">
        <is>
          <t>Plan</t>
        </is>
      </c>
      <c r="B17" s="3" t="inlineStr">
        <is>
          <t>Feels like</t>
        </is>
      </c>
      <c r="C17" s="3" t="inlineStr">
        <is>
          <t>Max you’d pay / month</t>
        </is>
      </c>
    </row>
    <row r="18">
      <c r="A18" s="12" t="inlineStr">
        <is>
          <t>Free</t>
        </is>
      </c>
      <c r="B18" s="13" t="inlineStr">
        <is>
          <t>Full app for personal / small friend groups</t>
        </is>
      </c>
      <c r="C18" s="7" t="inlineStr">
        <is>
          <t>$0</t>
        </is>
      </c>
    </row>
    <row r="19">
      <c r="A19" s="12" t="inlineStr">
        <is>
          <t>Team</t>
        </is>
      </c>
      <c r="B19" s="13" t="inlineStr">
        <is>
          <t>Small crew growing past 5 people</t>
        </is>
      </c>
      <c r="C19" s="7" t="inlineStr">
        <is>
          <t>$62</t>
        </is>
      </c>
    </row>
    <row r="20">
      <c r="A20" s="12" t="inlineStr">
        <is>
          <t>Business</t>
        </is>
      </c>
      <c r="B20" s="13" t="inlineStr">
        <is>
          <t>Real company tools (audit, admin, sync)</t>
        </is>
      </c>
      <c r="C20" s="7" t="inlineStr">
        <is>
          <t>$455</t>
        </is>
      </c>
    </row>
    <row r="21">
      <c r="A21" s="12" t="inlineStr">
        <is>
          <t>Enterprise</t>
        </is>
      </c>
      <c r="B21" s="13" t="inlineStr">
        <is>
          <t>Whole company, many workspaces, SSO</t>
        </is>
      </c>
      <c r="C21" s="7" t="inlineStr">
        <is>
          <t>No cap — pay for seats you choose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22" customWidth="1" min="4" max="4"/>
    <col width="18" customWidth="1" min="5" max="5"/>
    <col width="48" customWidth="1" min="6" max="6"/>
  </cols>
  <sheetData>
    <row r="1">
      <c r="A1" s="1" t="inlineStr">
        <is>
          <t>Rowgon infrastructure cost at scale (hosting stack — not user subscription prices)</t>
        </is>
      </c>
    </row>
    <row r="2">
      <c r="A2" s="2" t="inlineStr">
        <is>
          <t>Stack: Vercel + Neon + Ably + Resend + Cloudflare R2 (+ Stripe % of revenue, separate). Mid-high storage = heavier attachments. Totals are estimates, not quotes.</t>
        </is>
      </c>
    </row>
    <row r="3">
      <c r="A3" s="16" t="inlineStr">
        <is>
          <t>Google's ~$145/mo figure was Neon+R2 only at 10k. Full stack is higher — especially Ably + Vercel.</t>
        </is>
      </c>
    </row>
    <row r="5">
      <c r="A5" s="11" t="inlineStr">
        <is>
          <t>MONTHLY TOTALS (full stack)</t>
        </is>
      </c>
    </row>
    <row r="6">
      <c r="A6" s="3" t="inlineStr">
        <is>
          <t>Users</t>
        </is>
      </c>
      <c r="B6" s="3" t="inlineStr">
        <is>
          <t>Lean / optimized</t>
        </is>
      </c>
      <c r="C6" s="3" t="inlineStr">
        <is>
          <t>Mid-high (typical target)</t>
        </is>
      </c>
      <c r="D6" s="3" t="inlineStr">
        <is>
          <t>Heavy / unoptimized</t>
        </is>
      </c>
      <c r="E6" s="3" t="inlineStr">
        <is>
          <t>Mid-high YEARLY</t>
        </is>
      </c>
      <c r="F6" s="3" t="inlineStr">
        <is>
          <t>What's driving cost</t>
        </is>
      </c>
    </row>
    <row r="7" ht="36" customHeight="1">
      <c r="A7" s="17" t="inlineStr">
        <is>
          <t>100</t>
        </is>
      </c>
      <c r="B7" s="5" t="inlineStr">
        <is>
          <t>$25–60</t>
        </is>
      </c>
      <c r="C7" s="18" t="inlineStr">
        <is>
          <t>$40–90</t>
        </is>
      </c>
      <c r="D7" s="5" t="inlineStr">
        <is>
          <t>$90–180</t>
        </is>
      </c>
      <c r="E7" s="19" t="inlineStr">
        <is>
          <t>$480–1,080</t>
        </is>
      </c>
      <c r="F7" s="13" t="inlineStr">
        <is>
          <t>Mostly Vercel Pro + small Neon; R2/Ably still small</t>
        </is>
      </c>
    </row>
    <row r="8" ht="36" customHeight="1">
      <c r="A8" s="17" t="inlineStr">
        <is>
          <t>1,000</t>
        </is>
      </c>
      <c r="B8" s="6" t="inlineStr">
        <is>
          <t>$80–180</t>
        </is>
      </c>
      <c r="C8" s="18" t="inlineStr">
        <is>
          <t>$150–320</t>
        </is>
      </c>
      <c r="D8" s="6" t="inlineStr">
        <is>
          <t>$350–700</t>
        </is>
      </c>
      <c r="E8" s="19" t="inlineStr">
        <is>
          <t>$1,800–3,840</t>
        </is>
      </c>
      <c r="F8" s="14" t="inlineStr">
        <is>
          <t>Neon always-on + Ably Standard + Resend digests</t>
        </is>
      </c>
    </row>
    <row r="9" ht="36" customHeight="1">
      <c r="A9" s="17" t="inlineStr">
        <is>
          <t>10,000</t>
        </is>
      </c>
      <c r="B9" s="5" t="inlineStr">
        <is>
          <t>$220–450</t>
        </is>
      </c>
      <c r="C9" s="18" t="inlineStr">
        <is>
          <t>$480–1,000</t>
        </is>
      </c>
      <c r="D9" s="5" t="inlineStr">
        <is>
          <t>$900–1,900+</t>
        </is>
      </c>
      <c r="E9" s="19" t="inlineStr">
        <is>
          <t>$5,800–12,000</t>
        </is>
      </c>
      <c r="F9" s="13" t="inlineStr">
        <is>
          <t>Ably MAU + Vercel usage + R2 TBs + Neon CU</t>
        </is>
      </c>
    </row>
    <row r="12">
      <c r="A12" s="11" t="inlineStr">
        <is>
          <t>MID-HIGH BREAKDOWN BY SERVICE (monthly $)</t>
        </is>
      </c>
    </row>
    <row r="13">
      <c r="A13" s="3" t="inlineStr">
        <is>
          <t>System</t>
        </is>
      </c>
      <c r="B13" s="3" t="inlineStr">
        <is>
          <t>What you pay for</t>
        </is>
      </c>
      <c r="C13" s="3" t="inlineStr">
        <is>
          <t>100 users</t>
        </is>
      </c>
      <c r="D13" s="3" t="inlineStr">
        <is>
          <t>1,000 users</t>
        </is>
      </c>
      <c r="E13" s="3" t="inlineStr">
        <is>
          <t>10,000 users</t>
        </is>
      </c>
      <c r="F13" s="3" t="inlineStr">
        <is>
          <t>Notes</t>
        </is>
      </c>
    </row>
    <row r="14" ht="40" customHeight="1">
      <c r="A14" s="4" t="inlineStr">
        <is>
          <t>Neon (Postgres)</t>
        </is>
      </c>
      <c r="B14" s="13" t="inlineStr">
        <is>
          <t>Compute CU-hrs + DB storage + restore history</t>
        </is>
      </c>
      <c r="C14" s="5" t="inlineStr">
        <is>
          <t>$5–15</t>
        </is>
      </c>
      <c r="D14" s="5" t="inlineStr">
        <is>
          <t>$25–60</t>
        </is>
      </c>
      <c r="E14" s="5" t="inlineStr">
        <is>
          <t>$100–180</t>
        </is>
      </c>
      <c r="F14" s="13" t="inlineStr">
        <is>
          <t>10k ≈ 1–1.5 CU often-on; text DB ~GB not TB</t>
        </is>
      </c>
    </row>
    <row r="15" ht="40" customHeight="1">
      <c r="A15" s="4" t="inlineStr">
        <is>
          <t>Cloudflare R2</t>
        </is>
      </c>
      <c r="B15" s="14" t="inlineStr">
        <is>
          <t>File storage GB + Class A/B ops (egress $0)</t>
        </is>
      </c>
      <c r="C15" s="6" t="inlineStr">
        <is>
          <t>$0–5</t>
        </is>
      </c>
      <c r="D15" s="6" t="inlineStr">
        <is>
          <t>$5–25</t>
        </is>
      </c>
      <c r="E15" s="6" t="inlineStr">
        <is>
          <t>$55–75</t>
        </is>
      </c>
      <c r="F15" s="14" t="inlineStr">
        <is>
          <t>Mid-high @10k ≈ 2–2.5 TB if ~200–250MB/user</t>
        </is>
      </c>
    </row>
    <row r="16" ht="40" customHeight="1">
      <c r="A16" s="4" t="inlineStr">
        <is>
          <t>Vercel</t>
        </is>
      </c>
      <c r="B16" s="13" t="inlineStr">
        <is>
          <t>Pro $20 + serverless/CDN overage</t>
        </is>
      </c>
      <c r="C16" s="5" t="inlineStr">
        <is>
          <t>$20–35</t>
        </is>
      </c>
      <c r="D16" s="5" t="inlineStr">
        <is>
          <t>$30–70</t>
        </is>
      </c>
      <c r="E16" s="5" t="inlineStr">
        <is>
          <t>$40–120</t>
        </is>
      </c>
      <c r="F16" s="13" t="inlineStr">
        <is>
          <t>Unoptimized refreshes/polling push this way up</t>
        </is>
      </c>
    </row>
    <row r="17" ht="40" customHeight="1">
      <c r="A17" s="4" t="inlineStr">
        <is>
          <t>Ably</t>
        </is>
      </c>
      <c r="B17" s="14" t="inlineStr">
        <is>
          <t>Realtime chat/badges/presence</t>
        </is>
      </c>
      <c r="C17" s="6" t="inlineStr">
        <is>
          <t>$0–29</t>
        </is>
      </c>
      <c r="D17" s="6" t="inlineStr">
        <is>
          <t>$50–150</t>
        </is>
      </c>
      <c r="E17" s="6" t="inlineStr">
        <is>
          <t>$250–550</t>
        </is>
      </c>
      <c r="F17" s="14" t="inlineStr">
        <is>
          <t>Biggest sleeper; Free=200 conn only. MAU can dominate</t>
        </is>
      </c>
    </row>
    <row r="18" ht="40" customHeight="1">
      <c r="A18" s="4" t="inlineStr">
        <is>
          <t>Resend</t>
        </is>
      </c>
      <c r="B18" s="13" t="inlineStr">
        <is>
          <t>Digests, invites, resets, billing email</t>
        </is>
      </c>
      <c r="C18" s="5" t="inlineStr">
        <is>
          <t>$0–20</t>
        </is>
      </c>
      <c r="D18" s="5" t="inlineStr">
        <is>
          <t>$20–35</t>
        </is>
      </c>
      <c r="E18" s="5" t="inlineStr">
        <is>
          <t>$35–90</t>
        </is>
      </c>
      <c r="F18" s="13" t="inlineStr">
        <is>
          <t>Free=3k emails/mo; weekly digest scales with users</t>
        </is>
      </c>
    </row>
    <row r="19" ht="40" customHeight="1">
      <c r="A19" s="4" t="inlineStr">
        <is>
          <t>Domain / DNS</t>
        </is>
      </c>
      <c r="B19" s="14" t="inlineStr">
        <is>
          <t>Domain + Cloudflare DNS</t>
        </is>
      </c>
      <c r="C19" s="6" t="inlineStr">
        <is>
          <t>~$1–2</t>
        </is>
      </c>
      <c r="D19" s="6" t="inlineStr">
        <is>
          <t>~$1–2</t>
        </is>
      </c>
      <c r="E19" s="6" t="inlineStr">
        <is>
          <t>~$1–2</t>
        </is>
      </c>
      <c r="F19" s="14" t="inlineStr">
        <is>
          <t>~$12–20/year domain (e.g. Porkbun) + Cloudflare DNS usually $0</t>
        </is>
      </c>
    </row>
    <row r="20" ht="40" customHeight="1">
      <c r="A20" s="4" t="inlineStr">
        <is>
          <t>Vercel Cron / jobs</t>
        </is>
      </c>
      <c r="B20" s="13" t="inlineStr">
        <is>
          <t>Scheduled retention, digests, dunning</t>
        </is>
      </c>
      <c r="C20" s="5" t="inlineStr">
        <is>
          <t>$0</t>
        </is>
      </c>
      <c r="D20" s="5" t="inlineStr">
        <is>
          <t>$0–10</t>
        </is>
      </c>
      <c r="E20" s="5" t="inlineStr">
        <is>
          <t>$0–20</t>
        </is>
      </c>
      <c r="F20" s="13" t="inlineStr">
        <is>
          <t>Cron first; queue product only if jobs get huge</t>
        </is>
      </c>
    </row>
    <row r="21" ht="40" customHeight="1">
      <c r="A21" s="4" t="inlineStr">
        <is>
          <t>WorkOS SSO</t>
        </is>
      </c>
      <c r="B21" s="14" t="inlineStr">
        <is>
          <t>Enterprise SSO only</t>
        </is>
      </c>
      <c r="C21" s="6" t="inlineStr">
        <is>
          <t>$0</t>
        </is>
      </c>
      <c r="D21" s="6" t="inlineStr">
        <is>
          <t>$0</t>
        </is>
      </c>
      <c r="E21" s="6" t="inlineStr">
        <is>
          <t>$0–low</t>
        </is>
      </c>
      <c r="F21" s="14" t="inlineStr">
        <is>
          <t>Not needed for raw user count; Enterprise feature</t>
        </is>
      </c>
    </row>
    <row r="22" ht="40" customHeight="1">
      <c r="A22" s="4" t="inlineStr">
        <is>
          <t>Virus scan</t>
        </is>
      </c>
      <c r="B22" s="13" t="inlineStr">
        <is>
          <t>Deferred</t>
        </is>
      </c>
      <c r="C22" s="5" t="inlineStr">
        <is>
          <t>$0</t>
        </is>
      </c>
      <c r="D22" s="5" t="inlineStr">
        <is>
          <t>$0</t>
        </is>
      </c>
      <c r="E22" s="5" t="inlineStr">
        <is>
          <t>$0</t>
        </is>
      </c>
      <c r="F22" s="13" t="inlineStr">
        <is>
          <t>Add later when uploads are untrusted/heavy</t>
        </is>
      </c>
    </row>
    <row r="23" ht="40" customHeight="1">
      <c r="A23" s="4" t="inlineStr">
        <is>
          <t>Stripe</t>
        </is>
      </c>
      <c r="B23" s="14" t="inlineStr">
        <is>
          <t>% of revenue (not per user)</t>
        </is>
      </c>
      <c r="C23" s="6" t="inlineStr">
        <is>
          <t>varies</t>
        </is>
      </c>
      <c r="D23" s="6" t="inlineStr">
        <is>
          <t>varies</t>
        </is>
      </c>
      <c r="E23" s="6" t="inlineStr">
        <is>
          <t>varies</t>
        </is>
      </c>
      <c r="F23" s="14" t="inlineStr">
        <is>
          <t>~2.9%+$0.30 + Billing % — not hosting</t>
        </is>
      </c>
    </row>
    <row r="24" ht="40" customHeight="1">
      <c r="A24" s="7" t="inlineStr">
        <is>
          <t>MID-HIGH TOTAL (infra)</t>
        </is>
      </c>
      <c r="B24" s="7" t="inlineStr">
        <is>
          <t>Sum of hosting stack (excl. Stripe)</t>
        </is>
      </c>
      <c r="C24" s="19" t="inlineStr">
        <is>
          <t>$40–90</t>
        </is>
      </c>
      <c r="D24" s="19" t="inlineStr">
        <is>
          <t>$150–320</t>
        </is>
      </c>
      <c r="E24" s="19" t="inlineStr">
        <is>
          <t>$480–1,000</t>
        </is>
      </c>
      <c r="F24" s="7" t="inlineStr">
        <is>
          <t>Use middle of range for planning</t>
        </is>
      </c>
    </row>
    <row r="25" ht="40" customHeight="1">
      <c r="A25" s="7" t="inlineStr">
        <is>
          <t>MID-HIGH YEARLY</t>
        </is>
      </c>
      <c r="B25" s="7" t="inlineStr">
        <is>
          <t>×12</t>
        </is>
      </c>
      <c r="C25" s="19" t="inlineStr">
        <is>
          <t>$480–1,080</t>
        </is>
      </c>
      <c r="D25" s="19" t="inlineStr">
        <is>
          <t>$1,800–3,840</t>
        </is>
      </c>
      <c r="E25" s="19" t="inlineStr">
        <is>
          <t>$5,800–12,000</t>
        </is>
      </c>
      <c r="F25" s="7" t="inlineStr">
        <is>
          <t>Round planning numbers</t>
        </is>
      </c>
    </row>
    <row r="28">
      <c r="A28" s="11" t="inlineStr">
        <is>
          <t>GOOGLE'S 10k NUMBER VS FULL STACK</t>
        </is>
      </c>
    </row>
    <row r="29">
      <c r="A29" s="3" t="inlineStr">
        <is>
          <t>Slice</t>
        </is>
      </c>
      <c r="B29" s="3" t="inlineStr">
        <is>
          <t>Monthly</t>
        </is>
      </c>
      <c r="C29" s="3" t="inlineStr">
        <is>
          <t>Yearly</t>
        </is>
      </c>
      <c r="D29" s="3" t="inlineStr">
        <is>
          <t>Verdict</t>
        </is>
      </c>
    </row>
    <row r="30" ht="32" customHeight="1">
      <c r="A30" s="20" t="inlineStr">
        <is>
          <t>Google: Neon + R2 only (their math)</t>
        </is>
      </c>
      <c r="B30" s="20" t="inlineStr">
        <is>
          <t>~$145</t>
        </is>
      </c>
      <c r="C30" s="20" t="inlineStr">
        <is>
          <t>~$1,740</t>
        </is>
      </c>
      <c r="D30" s="20" t="inlineStr">
        <is>
          <t>OK ballpark for DB+files at 2.5TB — incomplete for Rowgon</t>
        </is>
      </c>
    </row>
    <row r="31" ht="32" customHeight="1">
      <c r="A31" s="21" t="inlineStr">
        <is>
          <t>Full mid-high stack (this sheet)</t>
        </is>
      </c>
      <c r="B31" s="21" t="inlineStr">
        <is>
          <t>~$480–1,000</t>
        </is>
      </c>
      <c r="C31" s="21" t="inlineStr">
        <is>
          <t>~$5,800–12,000</t>
        </is>
      </c>
      <c r="D31" s="21" t="inlineStr">
        <is>
          <t>Includes Vercel + Ably + Resend</t>
        </is>
      </c>
    </row>
    <row r="32" ht="32" customHeight="1">
      <c r="A32" s="13" t="inlineStr">
        <is>
          <t>Ably alone if all 10k are MAU @ ~$0.05</t>
        </is>
      </c>
      <c r="B32" s="13" t="inlineStr">
        <is>
          <t>~$500 (+$29 base)</t>
        </is>
      </c>
      <c r="C32" s="13" t="inlineStr">
        <is>
          <t>~$6,300</t>
        </is>
      </c>
      <c r="D32" s="13" t="inlineStr">
        <is>
          <t>Why Google total is too low</t>
        </is>
      </c>
    </row>
    <row r="35">
      <c r="A35" s="11" t="inlineStr">
        <is>
          <t>STORAGE ASSUMPTIONS USED</t>
        </is>
      </c>
    </row>
    <row r="36">
      <c r="A36" s="3" t="inlineStr">
        <is>
          <t>Users</t>
        </is>
      </c>
      <c r="B36" s="3" t="inlineStr">
        <is>
          <t>Neon DB data (text)</t>
        </is>
      </c>
      <c r="C36" s="3" t="inlineStr">
        <is>
          <t>R2 files (mid-high)</t>
        </is>
      </c>
      <c r="D36" s="3" t="inlineStr">
        <is>
          <t>R2 storage $ (approx)</t>
        </is>
      </c>
      <c r="E36" s="3" t="inlineStr">
        <is>
          <t>Notes</t>
        </is>
      </c>
    </row>
    <row r="37" ht="36" customHeight="1">
      <c r="A37" s="17" t="inlineStr">
        <is>
          <t>100</t>
        </is>
      </c>
      <c r="B37" s="5" t="inlineStr">
        <is>
          <t>0.2–1 GB</t>
        </is>
      </c>
      <c r="C37" s="5" t="inlineStr">
        <is>
          <t>10–50 GB</t>
        </is>
      </c>
      <c r="D37" s="5" t="inlineStr">
        <is>
          <t>$0–1 (near free tier)</t>
        </is>
      </c>
      <c r="E37" s="13" t="inlineStr">
        <is>
          <t>Often still in R2 free 10GB if careful</t>
        </is>
      </c>
    </row>
    <row r="38" ht="36" customHeight="1">
      <c r="A38" s="17" t="inlineStr">
        <is>
          <t>1,000</t>
        </is>
      </c>
      <c r="B38" s="5" t="inlineStr">
        <is>
          <t>1–5 GB</t>
        </is>
      </c>
      <c r="C38" s="5" t="inlineStr">
        <is>
          <t>100–400 GB</t>
        </is>
      </c>
      <c r="D38" s="5" t="inlineStr">
        <is>
          <t>$1.5–6</t>
        </is>
      </c>
      <c r="E38" s="13" t="inlineStr">
        <is>
          <t>~100–400MB/user average attachments</t>
        </is>
      </c>
    </row>
    <row r="39" ht="36" customHeight="1">
      <c r="A39" s="17" t="inlineStr">
        <is>
          <t>10,000</t>
        </is>
      </c>
      <c r="B39" s="5" t="inlineStr">
        <is>
          <t>10–25 GB</t>
        </is>
      </c>
      <c r="C39" s="5" t="inlineStr">
        <is>
          <t>2.0–2.5 TB</t>
        </is>
      </c>
      <c r="D39" s="5" t="inlineStr">
        <is>
          <t>~$30–37 storage + ops ≈ $55–75</t>
        </is>
      </c>
      <c r="E39" s="13" t="inlineStr">
        <is>
          <t>~200–250MB/user — Google mid-high case</t>
        </is>
      </c>
    </row>
    <row r="40"/>
    <row r="41"/>
    <row r="42">
      <c r="A42" s="22" t="inlineStr">
        <is>
          <t>R2 does NOT compound: storing 12GB unused stays ~12GB next month (pay each month for what's still there), not 24GB.</t>
        </is>
      </c>
    </row>
    <row r="43"/>
    <row r="44">
      <c r="A44" s="22" t="inlineStr">
        <is>
          <t>Revenue note (not hosting): User subscription prices use seat ladder $2.50/$5/$10 (see Comparison tab). Stripe fees are a % of money collected.</t>
        </is>
      </c>
    </row>
    <row r="45"/>
    <row r="46"/>
    <row r="47"/>
    <row r="48"/>
    <row r="49"/>
    <row r="50"/>
  </sheetData>
  <mergeCells count="5">
    <mergeCell ref="A2:F2"/>
    <mergeCell ref="A42:F42"/>
    <mergeCell ref="A44:F44"/>
    <mergeCell ref="A1:F1"/>
    <mergeCell ref="A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How to read the scale cost ranges</t>
        </is>
      </c>
    </row>
    <row r="3">
      <c r="A3" s="3" t="inlineStr">
        <is>
          <t>Term</t>
        </is>
      </c>
      <c r="B3" s="3" t="inlineStr">
        <is>
          <t>Meaning</t>
        </is>
      </c>
    </row>
    <row r="4" ht="36" customHeight="1">
      <c r="A4" s="23" t="inlineStr">
        <is>
          <t>Lean / optimized</t>
        </is>
      </c>
      <c r="B4" s="13" t="inlineStr">
        <is>
          <t>Optimistic UI, few full-page refreshes, Ably payloads small, attachment caps, digests opt-in, Neon not oversized</t>
        </is>
      </c>
    </row>
    <row r="5" ht="36" customHeight="1">
      <c r="A5" s="23" t="inlineStr">
        <is>
          <t>Mid-high (target planning)</t>
        </is>
      </c>
      <c r="B5" s="13" t="inlineStr">
        <is>
          <t>Serious daily use + mid-high attachments; Ably on for many actives; Pro hosting; weekly digests</t>
        </is>
      </c>
    </row>
    <row r="6" ht="36" customHeight="1">
      <c r="A6" s="23" t="inlineStr">
        <is>
          <t>Heavy / unoptimized</t>
        </is>
      </c>
      <c r="B6" s="13" t="inlineStr">
        <is>
          <t>Current-style full RSC refresh on chat, heavy polling, fat Ably MAU, large unchecked uploads, always-on big Neon</t>
        </is>
      </c>
    </row>
    <row r="7" ht="36" customHeight="1">
      <c r="A7" s="23" t="inlineStr">
        <is>
          <t>100 users</t>
        </is>
      </c>
      <c r="B7" s="13" t="inlineStr">
        <is>
          <t>Still mostly small-bill territory; Vercel Pro may already be wanted for commercial use</t>
        </is>
      </c>
    </row>
    <row r="8" ht="36" customHeight="1">
      <c r="A8" s="23" t="inlineStr">
        <is>
          <t>1,000 users</t>
        </is>
      </c>
      <c r="B8" s="13" t="inlineStr">
        <is>
          <t>Free tiers of Ably/Resend/Neon usually exceeded; treat as paid SaaS ops</t>
        </is>
      </c>
    </row>
    <row r="9" ht="36" customHeight="1">
      <c r="A9" s="23" t="inlineStr">
        <is>
          <t>10,000 users</t>
        </is>
      </c>
      <c r="B9" s="13" t="inlineStr">
        <is>
          <t>Real commercial infra; Ably + Vercel usage often exceed Neon+R2 combined</t>
        </is>
      </c>
    </row>
    <row r="10" ht="36" customHeight="1">
      <c r="A10" s="23" t="inlineStr">
        <is>
          <t>Not included in totals</t>
        </is>
      </c>
      <c r="B10" s="13" t="inlineStr">
        <is>
          <t>Your time, support staff, Apple/Google fees, ads, legal, virus scan, WorkOS at scale, Stripe processing fees</t>
        </is>
      </c>
    </row>
    <row r="11" ht="36" customHeight="1">
      <c r="A11" s="23" t="inlineStr">
        <is>
          <t>Neon rate basis</t>
        </is>
      </c>
      <c r="B11" s="13" t="inlineStr">
        <is>
          <t>~$0.106/CU-hour Launch; 1 CU always-on ≈ $77/mo compute before storage</t>
        </is>
      </c>
    </row>
    <row r="12" ht="36" customHeight="1">
      <c r="A12" s="23" t="inlineStr">
        <is>
          <t>R2 rate basis</t>
        </is>
      </c>
      <c r="B12" s="13" t="inlineStr">
        <is>
          <t>$0.015/GB-mo; Class A $4.50/M; Class B $0.36/M; 10GB + ops free; egress $0</t>
        </is>
      </c>
    </row>
    <row r="13" ht="36" customHeight="1">
      <c r="A13" s="23" t="inlineStr">
        <is>
          <t>Ably watch-out</t>
        </is>
      </c>
      <c r="B13" s="13" t="inlineStr">
        <is>
          <t>Free = 200 concurrent connections. Standard from ~$29 + usage/MAU — can dwarf storage at 10k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2026-10-02T21:52:50Z</dcterms:created>
  <dcterms:modified xsi:type="dcterms:W3CDTF">2026-10-05T01:44:39Z</dcterms:modified>
</cp:coreProperties>
</file>